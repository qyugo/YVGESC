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YVGESC-1 Electrical C" sheetId="1" r:id="rId4"/>
  </sheets>
</workbook>
</file>

<file path=xl/sharedStrings.xml><?xml version="1.0" encoding="utf-8"?>
<sst xmlns="http://schemas.openxmlformats.org/spreadsheetml/2006/main" uniqueCount="64">
  <si>
    <t>YVGESC-1 Electrical Components BOM</t>
  </si>
  <si>
    <t>Component</t>
  </si>
  <si>
    <t>Cost</t>
  </si>
  <si>
    <t>Units Sold</t>
  </si>
  <si>
    <t>Units Needed</t>
  </si>
  <si>
    <t>Cost of Needed Units</t>
  </si>
  <si>
    <r>
      <rPr>
        <sz val="14"/>
        <color indexed="8"/>
        <rFont val="Helvetica Neue"/>
      </rPr>
      <t xml:space="preserve">Gate Driver / TI DRV8323HRTAR (6-60V) </t>
    </r>
    <r>
      <rPr>
        <u val="single"/>
        <sz val="14"/>
        <color indexed="12"/>
        <rFont val="Helvetica Neue"/>
      </rPr>
      <t>LCSC</t>
    </r>
  </si>
  <si>
    <r>
      <rPr>
        <sz val="14"/>
        <color indexed="8"/>
        <rFont val="Helvetica Neue"/>
      </rPr>
      <t xml:space="preserve">Microcontroller / STMicroelectronics STM32G431RBT6 (170MHz)  </t>
    </r>
    <r>
      <rPr>
        <u val="single"/>
        <sz val="14"/>
        <color indexed="12"/>
        <rFont val="Helvetica Neue"/>
      </rPr>
      <t>Mouser</t>
    </r>
  </si>
  <si>
    <r>
      <rPr>
        <sz val="14"/>
        <color indexed="8"/>
        <rFont val="Helvetica Neue"/>
      </rPr>
      <t xml:space="preserve">Encoder / AMS AS5047P-ATSM (4.5-5.5V, 15mA) </t>
    </r>
    <r>
      <rPr>
        <u val="single"/>
        <sz val="14"/>
        <color indexed="12"/>
        <rFont val="Helvetica Neue"/>
      </rPr>
      <t>LCSC</t>
    </r>
    <r>
      <rPr>
        <sz val="14"/>
        <color indexed="8"/>
        <rFont val="Helvetica Neue"/>
      </rPr>
      <t xml:space="preserve"> </t>
    </r>
  </si>
  <si>
    <r>
      <rPr>
        <sz val="14"/>
        <color indexed="8"/>
        <rFont val="Helvetica Neue"/>
      </rPr>
      <t xml:space="preserve">ESD Protection Diode / STMicroelectronics USBLC6-2SC6 (17V Clamp/5A) </t>
    </r>
    <r>
      <rPr>
        <u val="single"/>
        <sz val="14"/>
        <color indexed="12"/>
        <rFont val="Helvetica Neue"/>
      </rPr>
      <t>LCSC</t>
    </r>
  </si>
  <si>
    <r>
      <rPr>
        <sz val="14"/>
        <color indexed="8"/>
        <rFont val="Helvetica Neue"/>
      </rPr>
      <t xml:space="preserve">CAN-FD Transceiver / TCAN332GDR SOIC8 (3-3.6V/5Mbps) </t>
    </r>
    <r>
      <rPr>
        <u val="single"/>
        <sz val="14"/>
        <color indexed="12"/>
        <rFont val="Helvetica Neue"/>
      </rPr>
      <t>LCSC</t>
    </r>
  </si>
  <si>
    <r>
      <rPr>
        <sz val="14"/>
        <color indexed="8"/>
        <rFont val="Helvetica Neue"/>
      </rPr>
      <t xml:space="preserve">C1 / TDK C2012X7R2A473KT0L0U X7R (47nF ±10%, 100V) </t>
    </r>
    <r>
      <rPr>
        <u val="single"/>
        <sz val="14"/>
        <color indexed="12"/>
        <rFont val="Helvetica Neue"/>
      </rPr>
      <t>LCSC</t>
    </r>
  </si>
  <si>
    <r>
      <rPr>
        <sz val="14"/>
        <color indexed="8"/>
        <rFont val="Helvetica Neue"/>
      </rPr>
      <t>C2 / muRata GCM188R72A104KA64D (0.1µF ±10%, 100V) </t>
    </r>
    <r>
      <rPr>
        <u val="single"/>
        <sz val="14"/>
        <color indexed="12"/>
        <rFont val="Helvetica Neue"/>
      </rPr>
      <t>LCSC</t>
    </r>
  </si>
  <si>
    <r>
      <rPr>
        <sz val="14"/>
        <color indexed="8"/>
        <rFont val="Helvetica Neue"/>
      </rPr>
      <t>C3 / Samsung CL10B105KA8NNNC X7R (1µF ±10%, 25V) </t>
    </r>
    <r>
      <rPr>
        <u val="single"/>
        <sz val="14"/>
        <color indexed="12"/>
        <rFont val="Helvetica Neue"/>
      </rPr>
      <t>LCSC</t>
    </r>
  </si>
  <si>
    <r>
      <rPr>
        <sz val="14"/>
        <color indexed="8"/>
        <rFont val="Helvetica Neue"/>
      </rPr>
      <t>C4 / PSA FS32X106K101EGG X7R (10µF ±10%, 100V)</t>
    </r>
    <r>
      <rPr>
        <u val="single"/>
        <sz val="14"/>
        <color indexed="12"/>
        <rFont val="Helvetica Neue"/>
      </rPr>
      <t>LCSC</t>
    </r>
  </si>
  <si>
    <r>
      <rPr>
        <sz val="14"/>
        <color indexed="8"/>
        <rFont val="Helvetica Neue"/>
      </rPr>
      <t>C5, C15, C20 / muRata GRM155Z71A105KE01D X7R (1µF ±10% / 10V)</t>
    </r>
    <r>
      <rPr>
        <sz val="12"/>
        <color indexed="8"/>
        <rFont val="Helvetica Neue"/>
      </rPr>
      <t xml:space="preserve"> </t>
    </r>
    <r>
      <rPr>
        <u val="single"/>
        <sz val="14"/>
        <color indexed="12"/>
        <rFont val="Helvetica Neue"/>
      </rPr>
      <t>LCSC</t>
    </r>
  </si>
  <si>
    <r>
      <rPr>
        <sz val="14"/>
        <color indexed="8"/>
        <rFont val="Helvetica Neue"/>
      </rPr>
      <t>C6 / YAGEO CC0603KRX7R7BB104 X7R (100nF ±10%, 16V) </t>
    </r>
    <r>
      <rPr>
        <u val="single"/>
        <sz val="14"/>
        <color indexed="12"/>
        <rFont val="Helvetica Neue"/>
      </rPr>
      <t>LCSC</t>
    </r>
  </si>
  <si>
    <r>
      <rPr>
        <sz val="14"/>
        <color indexed="8"/>
        <rFont val="Helvetica Neue"/>
      </rPr>
      <t>C7,8,9 / YAGEO CC0402KRX7R9BB222 X7R (2200pF ±10%, 50V) </t>
    </r>
    <r>
      <rPr>
        <u val="single"/>
        <sz val="14"/>
        <color indexed="12"/>
        <rFont val="Helvetica Neue"/>
      </rPr>
      <t>LCSC</t>
    </r>
  </si>
  <si>
    <r>
      <rPr>
        <sz val="14"/>
        <color indexed="8"/>
        <rFont val="Helvetica Neue"/>
      </rPr>
      <t>C10-13, 16, 19,21,23,24 / muRata GCM155R71A104KA55D X7R (</t>
    </r>
    <r>
      <rPr>
        <sz val="14"/>
        <color indexed="8"/>
        <rFont val="Helvetica Neue"/>
      </rPr>
      <t xml:space="preserve">100nF </t>
    </r>
    <r>
      <rPr>
        <sz val="12"/>
        <color indexed="14"/>
        <rFont val="Helvetica Neue"/>
      </rPr>
      <t>±</t>
    </r>
    <r>
      <rPr>
        <sz val="14"/>
        <color indexed="8"/>
        <rFont val="Helvetica Neue"/>
      </rPr>
      <t>10% 10V</t>
    </r>
    <r>
      <rPr>
        <sz val="14"/>
        <color indexed="8"/>
        <rFont val="Helvetica Neue"/>
      </rPr>
      <t>) </t>
    </r>
    <r>
      <rPr>
        <u val="single"/>
        <sz val="14"/>
        <color indexed="12"/>
        <rFont val="Helvetica Neue"/>
      </rPr>
      <t>LCSC</t>
    </r>
  </si>
  <si>
    <r>
      <rPr>
        <sz val="14"/>
        <color indexed="8"/>
        <rFont val="Helvetica Neue"/>
      </rPr>
      <t>C14 / Yageo CC0805KKX7R7BB475 X7R (4.7 µF ±10% 16V) </t>
    </r>
    <r>
      <rPr>
        <u val="single"/>
        <sz val="14"/>
        <color indexed="12"/>
        <rFont val="Helvetica Neue"/>
      </rPr>
      <t>LCSC</t>
    </r>
  </si>
  <si>
    <r>
      <rPr>
        <sz val="14"/>
        <color indexed="8"/>
        <rFont val="Helvetica Neue"/>
      </rPr>
      <t>C17, C18 / Samsung CL10C270JB8NNNC (</t>
    </r>
    <r>
      <rPr>
        <sz val="14"/>
        <color indexed="8"/>
        <rFont val="Helvetica Neue"/>
      </rPr>
      <t xml:space="preserve">26pF </t>
    </r>
    <r>
      <rPr>
        <sz val="12"/>
        <color indexed="14"/>
        <rFont val="Helvetica Neue"/>
      </rPr>
      <t>±</t>
    </r>
    <r>
      <rPr>
        <sz val="14"/>
        <color indexed="8"/>
        <rFont val="Helvetica Neue"/>
      </rPr>
      <t>5% 50V</t>
    </r>
    <r>
      <rPr>
        <sz val="14"/>
        <color indexed="8"/>
        <rFont val="Helvetica Neue"/>
      </rPr>
      <t xml:space="preserve">) </t>
    </r>
    <r>
      <rPr>
        <u val="single"/>
        <sz val="14"/>
        <color indexed="12"/>
        <rFont val="Helvetica Neue"/>
      </rPr>
      <t>LCSC</t>
    </r>
  </si>
  <si>
    <r>
      <rPr>
        <sz val="14"/>
        <color indexed="8"/>
        <rFont val="Helvetica Neue"/>
      </rPr>
      <t>C22 / CCTC TCC0402X7R472K500AT X7R (4.7nF ±10%, 25V) </t>
    </r>
    <r>
      <rPr>
        <u val="single"/>
        <sz val="14"/>
        <color indexed="12"/>
        <rFont val="Helvetica Neue"/>
      </rPr>
      <t>LCSC</t>
    </r>
  </si>
  <si>
    <r>
      <rPr>
        <sz val="14"/>
        <color indexed="8"/>
        <rFont val="Helvetica Neue"/>
      </rPr>
      <t>CA / Samsung CL05C102JB5NNNC (1nF ±5% / 50V) </t>
    </r>
    <r>
      <rPr>
        <u val="single"/>
        <sz val="14"/>
        <color indexed="12"/>
        <rFont val="Helvetica Neue"/>
      </rPr>
      <t>LCSC</t>
    </r>
  </si>
  <si>
    <r>
      <rPr>
        <sz val="14"/>
        <color indexed="8"/>
        <rFont val="Helvetica Neue"/>
      </rPr>
      <t>CB / YAGEO CC0402JRNPO9BN271 (270pF ±5% / 50V)</t>
    </r>
    <r>
      <rPr>
        <sz val="12"/>
        <color indexed="8"/>
        <rFont val="Helvetica Neue"/>
      </rPr>
      <t xml:space="preserve"> </t>
    </r>
    <r>
      <rPr>
        <u val="single"/>
        <sz val="14"/>
        <color indexed="12"/>
        <rFont val="Helvetica Neue"/>
      </rPr>
      <t>LCSC</t>
    </r>
  </si>
  <si>
    <r>
      <rPr>
        <sz val="14"/>
        <color indexed="8"/>
        <rFont val="Helvetica Neue"/>
      </rPr>
      <t>Bootstrap Capacitor / Samsung CL21C222JBFNNNE (2.2nF / 50V ±5%)</t>
    </r>
    <r>
      <rPr>
        <sz val="12"/>
        <color indexed="8"/>
        <rFont val="Helvetica Neue"/>
      </rPr>
      <t xml:space="preserve"> </t>
    </r>
    <r>
      <rPr>
        <u val="single"/>
        <sz val="14"/>
        <color indexed="12"/>
        <rFont val="Helvetica Neue"/>
      </rPr>
      <t>LCSC</t>
    </r>
  </si>
  <si>
    <r>
      <rPr>
        <sz val="14"/>
        <color indexed="8"/>
        <rFont val="Helvetica Neue"/>
      </rPr>
      <t>VReg Input Capacitor (x2) / PSA FS32X225K101EGG (2.2µF / 100V ±10%)</t>
    </r>
    <r>
      <rPr>
        <sz val="12"/>
        <color indexed="8"/>
        <rFont val="Helvetica Neue"/>
      </rPr>
      <t xml:space="preserve"> </t>
    </r>
    <r>
      <rPr>
        <u val="single"/>
        <sz val="14"/>
        <color indexed="12"/>
        <rFont val="Helvetica Neue"/>
      </rPr>
      <t>LCSC</t>
    </r>
  </si>
  <si>
    <r>
      <rPr>
        <sz val="14"/>
        <color indexed="8"/>
        <rFont val="Helvetica Neue"/>
      </rPr>
      <t>VReg Output Capacitor / SAMWHA CS3225X7R226K250NRL (22μF / 25V ±10%) </t>
    </r>
    <r>
      <rPr>
        <u val="single"/>
        <sz val="14"/>
        <color indexed="12"/>
        <rFont val="Helvetica Neue"/>
      </rPr>
      <t>LCSC</t>
    </r>
  </si>
  <si>
    <r>
      <rPr>
        <sz val="14"/>
        <color indexed="8"/>
        <rFont val="Helvetica Neue"/>
      </rPr>
      <t xml:space="preserve">CAN TVS Diode / Nexperia PESD1CAN-215 (24VWRM / 40Vc) </t>
    </r>
    <r>
      <rPr>
        <u val="single"/>
        <sz val="14"/>
        <color indexed="12"/>
        <rFont val="Helvetica Neue"/>
      </rPr>
      <t>LCSC</t>
    </r>
  </si>
  <si>
    <r>
      <rPr>
        <sz val="14"/>
        <color indexed="8"/>
        <rFont val="Helvetica Neue"/>
      </rPr>
      <t xml:space="preserve">Green LED / Hubei KENTO Elec KT-0805G </t>
    </r>
    <r>
      <rPr>
        <u val="single"/>
        <sz val="14"/>
        <color indexed="12"/>
        <rFont val="Helvetica Neue"/>
      </rPr>
      <t>LCSC</t>
    </r>
  </si>
  <si>
    <r>
      <rPr>
        <sz val="14"/>
        <color indexed="8"/>
        <rFont val="Helvetica Neue"/>
      </rPr>
      <t>Red LED / Hubei KENTO Elec KT-0805R (0805/2012)</t>
    </r>
    <r>
      <rPr>
        <u val="single"/>
        <sz val="14"/>
        <color indexed="12"/>
        <rFont val="Helvetica Neue"/>
      </rPr>
      <t>LCSC</t>
    </r>
  </si>
  <si>
    <r>
      <rPr>
        <sz val="14"/>
        <color indexed="8"/>
        <rFont val="Helvetica Neue"/>
      </rPr>
      <t>Ferrite Bead / muRata BLM18AG601SN1D (600Ω @ 100MHz)</t>
    </r>
    <r>
      <rPr>
        <sz val="12"/>
        <color indexed="8"/>
        <rFont val="Helvetica Neue"/>
      </rPr>
      <t xml:space="preserve"> </t>
    </r>
    <r>
      <rPr>
        <u val="single"/>
        <sz val="14"/>
        <color indexed="12"/>
        <rFont val="Helvetica Neue"/>
      </rPr>
      <t>LCSC</t>
    </r>
  </si>
  <si>
    <r>
      <rPr>
        <sz val="14"/>
        <color indexed="8"/>
        <rFont val="Helvetica Neue"/>
      </rPr>
      <t>R1 / FOJAN FRC0402F7502TS (75kΩ ±0.1%)</t>
    </r>
    <r>
      <rPr>
        <sz val="12"/>
        <color indexed="8"/>
        <rFont val="Helvetica Neue"/>
      </rPr>
      <t xml:space="preserve"> </t>
    </r>
    <r>
      <rPr>
        <b val="1"/>
        <sz val="12"/>
        <color indexed="8"/>
        <rFont val="Helvetica Neue"/>
      </rPr>
      <t xml:space="preserve">YAGEO RT0402BRD0775KL C728563 </t>
    </r>
    <r>
      <rPr>
        <u val="single"/>
        <sz val="14"/>
        <color indexed="12"/>
        <rFont val="Helvetica Neue"/>
      </rPr>
      <t>LCSC</t>
    </r>
  </si>
  <si>
    <r>
      <rPr>
        <sz val="14"/>
        <color indexed="8"/>
        <rFont val="Helvetica Neue"/>
      </rPr>
      <t>R2, 3, 7, 13, 14, 15 / FOJAN FRC0402F5101TS (5.1kΩ ±1%)</t>
    </r>
    <r>
      <rPr>
        <sz val="12"/>
        <color indexed="8"/>
        <rFont val="Helvetica Neue"/>
      </rPr>
      <t xml:space="preserve"> </t>
    </r>
    <r>
      <rPr>
        <u val="single"/>
        <sz val="14"/>
        <color indexed="12"/>
        <rFont val="Helvetica Neue"/>
      </rPr>
      <t>LCSC</t>
    </r>
  </si>
  <si>
    <r>
      <rPr>
        <sz val="14"/>
        <color indexed="8"/>
        <rFont val="Helvetica Neue"/>
      </rPr>
      <t>R4, R5, R6 / YAGEO AC0402FR-07100RL (100Ω ±1%)</t>
    </r>
    <r>
      <rPr>
        <sz val="12"/>
        <color indexed="8"/>
        <rFont val="Helvetica Neue"/>
      </rPr>
      <t xml:space="preserve"> </t>
    </r>
    <r>
      <rPr>
        <u val="single"/>
        <sz val="14"/>
        <color indexed="12"/>
        <rFont val="Helvetica Neue"/>
      </rPr>
      <t>LCSC</t>
    </r>
  </si>
  <si>
    <r>
      <rPr>
        <sz val="14"/>
        <color indexed="8"/>
        <rFont val="Helvetica Neue"/>
      </rPr>
      <t>PGood Pull-up Resistor / Walsin WR04X473JTL (47k ±5%)</t>
    </r>
    <r>
      <rPr>
        <sz val="12"/>
        <color indexed="8"/>
        <rFont val="Helvetica Neue"/>
      </rPr>
      <t xml:space="preserve"> </t>
    </r>
    <r>
      <rPr>
        <u val="single"/>
        <sz val="14"/>
        <color indexed="12"/>
        <rFont val="Helvetica Neue"/>
      </rPr>
      <t>LCSC</t>
    </r>
  </si>
  <si>
    <r>
      <rPr>
        <sz val="14"/>
        <color indexed="8"/>
        <rFont val="Helvetica Neue"/>
      </rPr>
      <t>R9 (CAN Resistor) / FOJAN FRC0402J121 TS (120Ω ±5%) </t>
    </r>
    <r>
      <rPr>
        <u val="single"/>
        <sz val="14"/>
        <color indexed="12"/>
        <rFont val="Helvetica Neue"/>
      </rPr>
      <t>LCSC</t>
    </r>
  </si>
  <si>
    <r>
      <rPr>
        <sz val="14"/>
        <color indexed="8"/>
        <rFont val="Helvetica Neue"/>
      </rPr>
      <t>GLED Resistor / HWA CHN HRC0402F82R0DNTO (82Ω ±1%)</t>
    </r>
    <r>
      <rPr>
        <sz val="12"/>
        <color indexed="8"/>
        <rFont val="Helvetica Neue"/>
      </rPr>
      <t xml:space="preserve"> </t>
    </r>
    <r>
      <rPr>
        <u val="single"/>
        <sz val="14"/>
        <color indexed="12"/>
        <rFont val="Helvetica Neue"/>
      </rPr>
      <t>LCSC</t>
    </r>
    <r>
      <rPr>
        <sz val="14"/>
        <color indexed="8"/>
        <rFont val="Helvetica Neue"/>
      </rPr>
      <t xml:space="preserve"> </t>
    </r>
    <r>
      <rPr>
        <b val="1"/>
        <sz val="14"/>
        <color indexed="8"/>
        <rFont val="Helvetica Neue"/>
      </rPr>
      <t>RC0402FR-0782RL #:C163453 update cicada bom</t>
    </r>
  </si>
  <si>
    <r>
      <rPr>
        <sz val="14"/>
        <color indexed="8"/>
        <rFont val="Helvetica Neue"/>
      </rPr>
      <t>RLED Resistor / VISHAY CRCW0402180RFKEDC (180Ω, ±1%)</t>
    </r>
    <r>
      <rPr>
        <sz val="12"/>
        <color indexed="8"/>
        <rFont val="Helvetica Neue"/>
      </rPr>
      <t xml:space="preserve"> </t>
    </r>
    <r>
      <rPr>
        <u val="single"/>
        <sz val="14"/>
        <color indexed="12"/>
        <rFont val="Helvetica Neue"/>
      </rPr>
      <t>LCSC</t>
    </r>
  </si>
  <si>
    <r>
      <rPr>
        <sz val="14"/>
        <color indexed="8"/>
        <rFont val="Helvetica Neue"/>
      </rPr>
      <t>R12, RFB1 / FOJAN FRC0402F1003TS (100kΩ ±1%)</t>
    </r>
    <r>
      <rPr>
        <sz val="12"/>
        <color indexed="8"/>
        <rFont val="Helvetica Neue"/>
      </rPr>
      <t xml:space="preserve"> </t>
    </r>
    <r>
      <rPr>
        <u val="single"/>
        <sz val="14"/>
        <color indexed="12"/>
        <rFont val="Helvetica Neue"/>
      </rPr>
      <t>LCSC</t>
    </r>
  </si>
  <si>
    <r>
      <rPr>
        <sz val="14"/>
        <color indexed="8"/>
        <rFont val="Helvetica Neue"/>
      </rPr>
      <t>R16, R17 / FOJAN FRC0402F22R0TS (22Ω ±1%)</t>
    </r>
    <r>
      <rPr>
        <sz val="12"/>
        <color indexed="8"/>
        <rFont val="Helvetica Neue"/>
      </rPr>
      <t xml:space="preserve"> </t>
    </r>
    <r>
      <rPr>
        <u val="single"/>
        <sz val="14"/>
        <color indexed="12"/>
        <rFont val="Helvetica Neue"/>
      </rPr>
      <t>LCSC</t>
    </r>
  </si>
  <si>
    <r>
      <rPr>
        <sz val="14"/>
        <color indexed="8"/>
        <rFont val="Helvetica Neue"/>
      </rPr>
      <t>RA / Walsin WR04X4533FTL (453kΩ ±1%)</t>
    </r>
    <r>
      <rPr>
        <sz val="12"/>
        <color indexed="8"/>
        <rFont val="Helvetica Neue"/>
      </rPr>
      <t xml:space="preserve"> </t>
    </r>
    <r>
      <rPr>
        <u val="single"/>
        <sz val="14"/>
        <color indexed="12"/>
        <rFont val="Helvetica Neue"/>
      </rPr>
      <t>LCSC</t>
    </r>
  </si>
  <si>
    <r>
      <rPr>
        <sz val="14"/>
        <color indexed="8"/>
        <rFont val="Helvetica Neue"/>
      </rPr>
      <t>RFB2 / FOJAN FRC0402F5762TS (57.6kΩ ±1%)</t>
    </r>
    <r>
      <rPr>
        <sz val="12"/>
        <color indexed="8"/>
        <rFont val="Helvetica Neue"/>
      </rPr>
      <t xml:space="preserve">
</t>
    </r>
    <r>
      <rPr>
        <u val="single"/>
        <sz val="14"/>
        <color indexed="12"/>
        <rFont val="Helvetica Neue"/>
      </rPr>
      <t>LCSC</t>
    </r>
  </si>
  <si>
    <r>
      <rPr>
        <sz val="14"/>
        <color indexed="8"/>
        <rFont val="Helvetica Neue"/>
      </rPr>
      <t>R_RON / CHANGLONG CL0402FN27K4P (27.4kΩ ±1%) </t>
    </r>
    <r>
      <rPr>
        <u val="single"/>
        <sz val="14"/>
        <color indexed="12"/>
        <rFont val="Helvetica Neue"/>
      </rPr>
      <t>LCSC</t>
    </r>
  </si>
  <si>
    <r>
      <rPr>
        <sz val="14"/>
        <color indexed="8"/>
        <rFont val="Helvetica Neue"/>
      </rPr>
      <t>Gate Resistors (x6) / FOJAN FRC0402F3R30TS (3.3Ω ±1% 62.5mW)</t>
    </r>
    <r>
      <rPr>
        <sz val="12"/>
        <color indexed="8"/>
        <rFont val="Helvetica Neue"/>
      </rPr>
      <t xml:space="preserve"> </t>
    </r>
    <r>
      <rPr>
        <u val="single"/>
        <sz val="14"/>
        <color indexed="12"/>
        <rFont val="Helvetica Neue"/>
      </rPr>
      <t>LCSC</t>
    </r>
  </si>
  <si>
    <r>
      <rPr>
        <sz val="14"/>
        <color indexed="8"/>
        <rFont val="Helvetica Neue"/>
      </rPr>
      <t>RUV1 / FOJAN FRC0402F4302TS (43kΩ ±1%, 62.5mW 50V)</t>
    </r>
    <r>
      <rPr>
        <sz val="12"/>
        <color indexed="8"/>
        <rFont val="Helvetica Neue"/>
      </rPr>
      <t xml:space="preserve"> </t>
    </r>
    <r>
      <rPr>
        <u val="single"/>
        <sz val="14"/>
        <color indexed="12"/>
        <rFont val="Helvetica Neue"/>
      </rPr>
      <t>LCSC</t>
    </r>
  </si>
  <si>
    <r>
      <rPr>
        <sz val="14"/>
        <color indexed="8"/>
        <rFont val="Helvetica Neue"/>
      </rPr>
      <t>RUV2 / VISHAY CRCW040210K0FKED (10kΩ ±1% 63mW 50V)</t>
    </r>
    <r>
      <rPr>
        <sz val="12"/>
        <color indexed="8"/>
        <rFont val="Helvetica Neue"/>
      </rPr>
      <t xml:space="preserve"> </t>
    </r>
    <r>
      <rPr>
        <u val="single"/>
        <sz val="14"/>
        <color indexed="12"/>
        <rFont val="Helvetica Neue"/>
      </rPr>
      <t>LCSC</t>
    </r>
  </si>
  <si>
    <r>
      <rPr>
        <sz val="14"/>
        <color indexed="8"/>
        <rFont val="Helvetica Neue"/>
      </rPr>
      <t xml:space="preserve">Current Sensing Shunt Resistors (3x) / Vishay Dale WSK25121L000FEA (1mΩ, ±1%, 1W)  </t>
    </r>
    <r>
      <rPr>
        <u val="single"/>
        <sz val="14"/>
        <color indexed="12"/>
        <rFont val="Helvetica Neue"/>
      </rPr>
      <t>Mouser</t>
    </r>
  </si>
  <si>
    <r>
      <rPr>
        <sz val="14"/>
        <color indexed="8"/>
        <rFont val="Helvetica Neue"/>
      </rPr>
      <t>N-Channel MOSFETs / Infineon BSC057N08NS3GATMA1 (VDS = 80V) </t>
    </r>
    <r>
      <rPr>
        <u val="single"/>
        <sz val="14"/>
        <color indexed="12"/>
        <rFont val="Helvetica Neue"/>
      </rPr>
      <t>DigiKey</t>
    </r>
  </si>
  <si>
    <r>
      <rPr>
        <sz val="14"/>
        <color indexed="8"/>
        <rFont val="Helvetica Neue"/>
      </rPr>
      <t xml:space="preserve">Bulk Electrolytic Capacitors (x2) / Panasonic EEE-TKK221UAM (220 µF ±20% / 80V) </t>
    </r>
    <r>
      <rPr>
        <u val="single"/>
        <sz val="14"/>
        <color indexed="12"/>
        <rFont val="Helvetica Neue"/>
      </rPr>
      <t>DigiKey</t>
    </r>
  </si>
  <si>
    <r>
      <rPr>
        <sz val="14"/>
        <color indexed="8"/>
        <rFont val="Helvetica Neue"/>
      </rPr>
      <t xml:space="preserve">Bulk MLCC Capacitors (x2) / TDK CGA9N2X7R2A475K230KA </t>
    </r>
    <r>
      <rPr>
        <u val="single"/>
        <sz val="14"/>
        <color indexed="12"/>
        <rFont val="Helvetica Neue"/>
      </rPr>
      <t>DigiKey</t>
    </r>
    <r>
      <rPr>
        <sz val="14"/>
        <color indexed="8"/>
        <rFont val="Helvetica Neue"/>
      </rPr>
      <t xml:space="preserve"> (4.7 µF ±10% 100V)</t>
    </r>
  </si>
  <si>
    <r>
      <rPr>
        <sz val="14"/>
        <color indexed="8"/>
        <rFont val="Helvetica Neue"/>
      </rPr>
      <t xml:space="preserve">Power Inductor / Würth Elektronik 7447779147 (47μH) </t>
    </r>
    <r>
      <rPr>
        <u val="single"/>
        <sz val="14"/>
        <color indexed="12"/>
        <rFont val="Helvetica Neue"/>
      </rPr>
      <t>DigiKey</t>
    </r>
  </si>
  <si>
    <r>
      <rPr>
        <sz val="14"/>
        <color indexed="8"/>
        <rFont val="Helvetica Neue"/>
      </rPr>
      <t>Serial Wire Debug / Samtec FTSH-105-01-F-DV-K</t>
    </r>
    <r>
      <rPr>
        <sz val="12"/>
        <color indexed="8"/>
        <rFont val="Helvetica Neue"/>
      </rPr>
      <t xml:space="preserve">
</t>
    </r>
    <r>
      <rPr>
        <u val="single"/>
        <sz val="14"/>
        <color indexed="12"/>
        <rFont val="Helvetica Neue"/>
      </rPr>
      <t>LCSC</t>
    </r>
  </si>
  <si>
    <r>
      <rPr>
        <sz val="14"/>
        <color indexed="8"/>
        <rFont val="Helvetica Neue"/>
      </rPr>
      <t xml:space="preserve">XT60 Connector </t>
    </r>
    <r>
      <rPr>
        <u val="single"/>
        <sz val="14"/>
        <color indexed="12"/>
        <rFont val="Helvetica Neue"/>
      </rPr>
      <t>LCSC</t>
    </r>
  </si>
  <si>
    <r>
      <rPr>
        <sz val="14"/>
        <color indexed="8"/>
        <rFont val="Helvetica Neue"/>
      </rPr>
      <t xml:space="preserve">JST 3-pin CAN Terminals (x2) / JST S3B-PH-K-S </t>
    </r>
    <r>
      <rPr>
        <u val="single"/>
        <sz val="14"/>
        <color indexed="12"/>
        <rFont val="Helvetica Neue"/>
      </rPr>
      <t>LCSC</t>
    </r>
  </si>
  <si>
    <r>
      <rPr>
        <sz val="14"/>
        <color indexed="8"/>
        <rFont val="Helvetica Neue"/>
      </rPr>
      <t>USB-C / GCT USB4085-GF-A </t>
    </r>
    <r>
      <rPr>
        <u val="single"/>
        <sz val="14"/>
        <color indexed="12"/>
        <rFont val="Helvetica Neue"/>
      </rPr>
      <t>LCSC</t>
    </r>
  </si>
  <si>
    <r>
      <rPr>
        <sz val="14"/>
        <color indexed="8"/>
        <rFont val="Helvetica Neue"/>
      </rPr>
      <t>Quartz Oscillator / Abcracon ABM8AIG-8.000MHZ-1Z-T (8MHz) </t>
    </r>
    <r>
      <rPr>
        <u val="single"/>
        <sz val="14"/>
        <color indexed="12"/>
        <rFont val="Helvetica Neue"/>
      </rPr>
      <t>LCSC</t>
    </r>
  </si>
  <si>
    <r>
      <rPr>
        <sz val="14"/>
        <color indexed="8"/>
        <rFont val="Helvetica Neue"/>
      </rPr>
      <t>Buck Regulator / TI LM5164DDAT(6-100V / 1A)</t>
    </r>
    <r>
      <rPr>
        <sz val="12"/>
        <color indexed="8"/>
        <rFont val="Helvetica Neue"/>
      </rPr>
      <t xml:space="preserve">
</t>
    </r>
    <r>
      <rPr>
        <u val="single"/>
        <sz val="14"/>
        <color indexed="12"/>
        <rFont val="Helvetica Neue"/>
      </rPr>
      <t>LCSC</t>
    </r>
  </si>
  <si>
    <r>
      <rPr>
        <sz val="14"/>
        <color indexed="8"/>
        <rFont val="Helvetica Neue"/>
      </rPr>
      <t>BOOT button / SHOU HAN SH-6X6X4.3H-CJ</t>
    </r>
    <r>
      <rPr>
        <sz val="12"/>
        <color indexed="8"/>
        <rFont val="Helvetica Neue"/>
      </rPr>
      <t xml:space="preserve">
</t>
    </r>
    <r>
      <rPr>
        <u val="single"/>
        <sz val="14"/>
        <color indexed="12"/>
        <rFont val="Helvetica Neue"/>
      </rPr>
      <t>LCSC</t>
    </r>
  </si>
  <si>
    <r>
      <rPr>
        <sz val="14"/>
        <color indexed="8"/>
        <rFont val="Helvetica Neue"/>
      </rPr>
      <t>CAN Termination DIP Switch /Megastar ZX-2.54BM-1PZC 1-Pos SPST P = 2.54mm</t>
    </r>
    <r>
      <rPr>
        <sz val="12"/>
        <color indexed="8"/>
        <rFont val="Helvetica Neue"/>
      </rPr>
      <t xml:space="preserve"> </t>
    </r>
    <r>
      <rPr>
        <u val="single"/>
        <sz val="14"/>
        <color indexed="12"/>
        <rFont val="Helvetica Neue"/>
      </rPr>
      <t>LCSC</t>
    </r>
  </si>
  <si>
    <t>Final Costs</t>
  </si>
  <si>
    <t>USD</t>
  </si>
  <si>
    <t>Total Spend on Parts</t>
  </si>
  <si>
    <t>Parts Cost for 5 Boards</t>
  </si>
  <si>
    <t>Parts Cost Per Board</t>
  </si>
</sst>
</file>

<file path=xl/styles.xml><?xml version="1.0" encoding="utf-8"?>
<styleSheet xmlns="http://schemas.openxmlformats.org/spreadsheetml/2006/main">
  <numFmts count="1">
    <numFmt numFmtId="0" formatCode="General"/>
  </numFmts>
  <fonts count="7">
    <font>
      <sz val="10"/>
      <color indexed="8"/>
      <name val="Helvetica Neue"/>
    </font>
    <font>
      <sz val="12"/>
      <color indexed="8"/>
      <name val="Helvetica Neue"/>
    </font>
    <font>
      <b val="1"/>
      <sz val="14"/>
      <color indexed="8"/>
      <name val="Helvetica Neue"/>
    </font>
    <font>
      <sz val="14"/>
      <color indexed="8"/>
      <name val="Helvetica Neue"/>
    </font>
    <font>
      <u val="single"/>
      <sz val="14"/>
      <color indexed="12"/>
      <name val="Helvetica Neue"/>
    </font>
    <font>
      <sz val="12"/>
      <color indexed="14"/>
      <name val="Helvetica Neue"/>
    </font>
    <font>
      <b val="1"/>
      <sz val="12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8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 wrapText="1" readingOrder="1"/>
    </xf>
    <xf numFmtId="49" fontId="3" borderId="2" applyNumberFormat="1" applyFont="1" applyFill="0" applyBorder="1" applyAlignment="1" applyProtection="0">
      <alignment vertical="top" wrapText="1" readingOrder="1"/>
    </xf>
    <xf numFmtId="0" fontId="3" borderId="3" applyNumberFormat="1" applyFont="1" applyFill="0" applyBorder="1" applyAlignment="1" applyProtection="0">
      <alignment vertical="top" wrapText="1" readingOrder="1"/>
    </xf>
    <xf numFmtId="0" fontId="3" borderId="4" applyNumberFormat="1" applyFont="1" applyFill="0" applyBorder="1" applyAlignment="1" applyProtection="0">
      <alignment vertical="top" wrapText="1" readingOrder="1"/>
    </xf>
    <xf numFmtId="49" fontId="3" fillId="3" borderId="5" applyNumberFormat="1" applyFont="1" applyFill="1" applyBorder="1" applyAlignment="1" applyProtection="0">
      <alignment vertical="top" wrapText="1" readingOrder="1"/>
    </xf>
    <xf numFmtId="0" fontId="3" borderId="6" applyNumberFormat="1" applyFont="1" applyFill="0" applyBorder="1" applyAlignment="1" applyProtection="0">
      <alignment vertical="top" wrapText="1" readingOrder="1"/>
    </xf>
    <xf numFmtId="0" fontId="3" borderId="7" applyNumberFormat="1" applyFont="1" applyFill="0" applyBorder="1" applyAlignment="1" applyProtection="0">
      <alignment vertical="top" wrapText="1" readingOrder="1"/>
    </xf>
    <xf numFmtId="49" fontId="3" borderId="5" applyNumberFormat="1" applyFont="1" applyFill="0" applyBorder="1" applyAlignment="1" applyProtection="0">
      <alignment vertical="top" wrapText="1" readingOrder="1"/>
    </xf>
    <xf numFmtId="0" fontId="3" borderId="5" applyNumberFormat="0" applyFont="1" applyFill="0" applyBorder="1" applyAlignment="1" applyProtection="0">
      <alignment vertical="top" wrapText="1" readingOrder="1"/>
    </xf>
    <xf numFmtId="0" fontId="0" borderId="6" applyNumberFormat="0" applyFont="1" applyFill="0" applyBorder="1" applyAlignment="1" applyProtection="0">
      <alignment vertical="top" wrapText="1"/>
    </xf>
    <xf numFmtId="0" fontId="3" borderId="7" applyNumberFormat="0" applyFont="1" applyFill="0" applyBorder="1" applyAlignment="1" applyProtection="0">
      <alignment vertical="top" wrapText="1" readingOrder="1"/>
    </xf>
    <xf numFmtId="0" fontId="0" borderId="7" applyNumberFormat="0" applyFont="1" applyFill="0" applyBorder="1" applyAlignment="1" applyProtection="0">
      <alignment vertical="top" wrapText="1"/>
    </xf>
    <xf numFmtId="49" fontId="2" fillId="2" borderId="5" applyNumberFormat="1" applyFont="1" applyFill="1" applyBorder="1" applyAlignment="1" applyProtection="0">
      <alignment vertical="top" wrapText="1" readingOrder="1"/>
    </xf>
    <xf numFmtId="49" fontId="2" fillId="2" borderId="6" applyNumberFormat="1" applyFont="1" applyFill="1" applyBorder="1" applyAlignment="1" applyProtection="0">
      <alignment vertical="top" wrapText="1" readingOrder="1"/>
    </xf>
    <xf numFmtId="49" fontId="3" fillId="2" borderId="5" applyNumberFormat="1" applyFont="1" applyFill="1" applyBorder="1" applyAlignment="1" applyProtection="0">
      <alignment vertical="top" wrapText="1" readingOrder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d5d5d5"/>
      <rgbColor rgb="ffa5a5a5"/>
      <rgbColor rgb="ff3f3f3f"/>
      <rgbColor rgb="ff1155cc"/>
      <rgbColor rgb="ffcfe2f3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lcsc.com/product-detail/C701783.html?s_z=n_q_drv8323h&amp;spm=wm.fly.bg.0.xh&amp;lcsc_vid=QgJZVQJQRlgMVQJTT1NYVVFeFgdcVgBSEQNaU1FXTwcxVlNeQFReUVNUTldeXjsOAxUeFF5JWBYZEEoKFBINSQcJGk4%3D" TargetMode="External"/><Relationship Id="rId2" Type="http://schemas.openxmlformats.org/officeDocument/2006/relationships/hyperlink" Target="https://www.mouser.com/en/ProductDetail/STMicroelectronics/STM32G431RBT6?qs=T3oQrply3y8GpSwPjv1GMg%3D%3D&amp;utm_id=22375214383&amp;utm_source=google&amp;utm_medium=cpc&amp;utm_marketing_tactic=amercorp&amp;gad_source=1&amp;gad_campaignid=22371562478&amp;gbraid=0AAAAADn_wf0ZOEs2T5DHD9KCKtv6BnTZg&amp;gclid=CjwKCAjwpefSBhBvEiwAzyEtZ_5PG59Eg7kcCl5Fredi9XGIbRu3gHE5rdZJJlzI9QrixdCtx1gxKRoCtbsQAvD_BwE" TargetMode="External"/><Relationship Id="rId3" Type="http://schemas.openxmlformats.org/officeDocument/2006/relationships/hyperlink" Target="https://www.lcsc.com/product-detail/C962063.html" TargetMode="External"/><Relationship Id="rId4" Type="http://schemas.openxmlformats.org/officeDocument/2006/relationships/hyperlink" Target="https://www.lcsc.com/product-detail/C7519.html?s_z=n_q_USBLC6-2SC6&amp;spm=wm.fly.bg.0.xh&amp;lcsc_vid=QgJZVQJQRlgMVQJTT1NYVVFeFgdcVgBSEQNaU1FXTwcxVlNeQFRfUFVWTlBeVDsOAxUeFF5JWBYZEEoKFBINSQcJGk4NBhADEA4cHktXQVhaSQwSGg0%3D" TargetMode="External"/><Relationship Id="rId5" Type="http://schemas.openxmlformats.org/officeDocument/2006/relationships/hyperlink" Target="https://www.lcsc.com/product-detail/C191010.html?s_z=n_q_tcan332&amp;spm=wm.fly.bg.2.xh&amp;lcsc_vid=QgJZVQJQRlgMVQJTT1NYVVFeFgdcVgBSEQNaU1FXTwcxVlNeQFRfUVFeR1ZfVDsOAxUeFF5JWBYZEEoKFBINSQcJGk4eFQsCAgIaSgADAwAHC0slRVFZVlVfT08GEwkK" TargetMode="External"/><Relationship Id="rId6" Type="http://schemas.openxmlformats.org/officeDocument/2006/relationships/hyperlink" Target="https://www.lcsc.com/product-detail/C342507.html?s_z=n_q_t_capacitor&amp;spm=wm.fly.bg.18.xh___wm.ssy.tc.0.tz&amp;lcsc_vid=QgJZVQJQRlgMVQJTT1NYVVFeFgdcVgBSEQNaU1FXTwcxVlNeQFRXVFdeQVVbVDsOAxUeFF5JWBYZEEoKFBINSQcJGk4eFQsCAgIaSgADAwAHC0sLAg0aDggHDgQcSgcDBQADDgdLFAAeBgcPAw4cFEkLGwINShcLE0wdChA5AwUFSgdUR1BcH1MURQBaUFcNRlNbBgU5NFNfUV1SQ1NADxALGw%3D%3D" TargetMode="External"/><Relationship Id="rId7" Type="http://schemas.openxmlformats.org/officeDocument/2006/relationships/hyperlink" Target="https://www.lcsc.com/product-detail/C415406.html?s_z=n_q_GCM188R72A104KA64D&amp;spm=wm.fly.bg.0.xh&amp;lcsc_vid=QgJZVQJQRlgMVQJTT1NYVVFeFgdcVgBSEQNaU1FXTwcxVlNeQFReX1deR1RcVTsOAxUeFF5JWBYZEEoKFBINSQcJGk4eFQsCAgIaSgADAwAHC0sLAg0aDggHDgQcSgcDBQADDgdLFAAeBgcPAw4cFEkLGwINShcLE0wdChA5AwUFSgdUR1BcH1MURQBaUFcNRlNbBgU5NFNfUV1SQ1NADxALGw%3D%3D" TargetMode="External"/><Relationship Id="rId8" Type="http://schemas.openxmlformats.org/officeDocument/2006/relationships/hyperlink" Target="https://www.lcsc.com/product-detail/C29936.html?s_z=n_q_CL10B105KA8NNNC&amp;spm=wm.fly.bg.0.xh&amp;lcsc_vid=QgJZVQJQRlgMVQJTT1NYVVFeFgdcVgBSEQNaU1FXTwcxVlNeQFReXlVSQFRWXjsOAxUeFF5JWBYZEEoKFBINSQcJGk4NBhADEA4cHktXRlVcSQwSGg0%3D" TargetMode="External"/><Relationship Id="rId9" Type="http://schemas.openxmlformats.org/officeDocument/2006/relationships/hyperlink" Target="https://www.lcsc.com/product-detail/C5156756.html?s_z=n_q_t_capacitor&amp;spm=wm.fly.bg.0.xh___wm.ssy.tc.0.tz&amp;lcsc_vid=QgJZVQJQRlgMVQJTT1NYVVFeFgdcVgBSEQNaU1FXTwcxVlNeQFRdUlJUT1BYUjsOAxUeFF5JWBYZEEoKFBINSQcJGk4NBhADEA4cHktXRlhXSQwSGg0%3D" TargetMode="External"/><Relationship Id="rId10" Type="http://schemas.openxmlformats.org/officeDocument/2006/relationships/hyperlink" Target="https://www.lcsc.com/product-detail/C528974.html?s_z=n_q_GRM155Z71A105KE01D&amp;spm=wm.fly.bg.0.xh&amp;lcsc_vid=QgJZVQJQRlgMVQJTT1NYVVFeFgdcVgBSEQNaU1FXTwcxVlNeQFRfV1BST1BcXjsOAxUeFF5JWBYZEEoKFBINSQcJGk4NBhADEA4cHktXRlVcSQwSGg0%3D" TargetMode="External"/><Relationship Id="rId11" Type="http://schemas.openxmlformats.org/officeDocument/2006/relationships/hyperlink" Target="https://www.lcsc.com/product-detail/C108079.html?s_z=n_q_CC0603KRX7R7BB104&amp;spm=wm.fly.bg.0.xh&amp;lcsc_vid=QgJZVQJQRlgMVQJTT1NYVVFeFgdcVgBSEQNaU1FXTwcxVlNeQFRfVlVfQVFfVjsOAxUeFF5JWBYZEEoKFBINSQcJGk4dAgUUFAk%3D" TargetMode="External"/><Relationship Id="rId12" Type="http://schemas.openxmlformats.org/officeDocument/2006/relationships/hyperlink" Target="https://www.lcsc.com/product-detail/C106861.html?s_z=n_q_YAGEO%2520CC0402KRX7R9BB222&amp;spm=wm.fly.bg.0.xh&amp;lcsc_vid=QgJZVQJQRlgMVQJTT1NYVVFeFgdcVgBSEQNaU1FXTwcxVlNeQFRfVlFRR1hXXzsOAxUeFF5JWBYZEEoKFBINSQcJGk4eFQsCAgIaSgADAwAHC0slT1VZV1dIHxUDCw%3D%3D" TargetMode="External"/><Relationship Id="rId13" Type="http://schemas.openxmlformats.org/officeDocument/2006/relationships/hyperlink" Target="https://www.lcsc.com/product-detail/C161163.html?s_z=n_q_GCM155R71A104KA55D&amp;spm=wm.fly.bg.0.xh&amp;lcsc_vid=QgJZVQJQRlgMVQJTT1NYVVFeFgdcVgBSEQNaU1FXTwcxVlNeQFRfVVVQR1ZdUjsOAxUeFF5JWBYZEEoKFBINSQcJGk4NBhADEA4cHktXRlVcSQwSGg0%3D" TargetMode="External"/><Relationship Id="rId14" Type="http://schemas.openxmlformats.org/officeDocument/2006/relationships/hyperlink" Target="https://www.lcsc.com/product-detail/C277499.html?s_z=n_q_CC0805KKX7R7BB475&amp;spm=wm.fly.bg.0.xh&amp;lcsc_vid=QgJZVQJQRlgMVQJTT1NYVVFeFgdcVgBSEQNaU1FXTwcxVlNeQFRfVVFeQlVaUDsOAxUeFF5JWBYZEEoKFBINSQcJGk4NBhADEA4cHktXRlVcSQwSGg0%3D" TargetMode="External"/><Relationship Id="rId15" Type="http://schemas.openxmlformats.org/officeDocument/2006/relationships/hyperlink" Target="https://www.lcsc.com/product-detail/C1656.html?s_z=n_q_CL10C270JB8NNNC&amp;spm=wm.fly.bg.0.xh&amp;lcsc_vid=QgJZVQJQRlgMVQJTT1NYVVFeFgdcVgBSEQNaU1FXTwcxVlNeQFRfVFBURFJZVTsOAxUeFF5JWBYZEEoKFBINSQcJGk4dAgUUFAk%3D" TargetMode="External"/><Relationship Id="rId16" Type="http://schemas.openxmlformats.org/officeDocument/2006/relationships/hyperlink" Target="https://www.lcsc.com/product-detail/C696917.html?s_z=n_q_TCC0402X7R472K500AT&amp;spm=wm.fly.bg.0.xh&amp;lcsc_vid=QgJZVQJQRlgMVQJTT1NYVVFeFgdcVgBSEQNaU1FXTwcxVlNeQFRfU1VTQFFZXjsOAxUeFF5JWBYZEEoKFBINSQcJGk4eFQsCAgIaSgADAwAHC0slRlNfUVBIHxUDCw%3D%3D" TargetMode="External"/><Relationship Id="rId17" Type="http://schemas.openxmlformats.org/officeDocument/2006/relationships/hyperlink" Target="https://www.lcsc.com/product-detail/C307441.html?s_z=n_q_t_capacitor&amp;spm=wm.fly.bg.8.xh___wm.ssy.tc.0.tz&amp;lcsc_vid=QgJZVQJQRlgMVQJTT1NYVVFeFgdcVgBSEQNaU1FXTwcxVlNeQFRdVlVURVhXUjsOAxUeFF5JWBYZEEoKFBINSQcJGk4NBhADEA4cHktXQVhaSQwSGg0%3D" TargetMode="External"/><Relationship Id="rId18" Type="http://schemas.openxmlformats.org/officeDocument/2006/relationships/hyperlink" Target="https://www.lcsc.com/product-detail/C107003.html?s_z=n_q_t_capacitor&amp;spm=wm.fly.bg.1.xh___wm.ssy.tc.0.tz&amp;lcsc_vid=QgJZVQJQRlgMVQJTT1NYVVFeFgdcVgBSEQNaU1FXTwcxVlNeQFRdVlVURVhXUjsOAxUeFF5JWBYZEEoKFBINSQcJGk4NBhADEA4cHktXQVhaSQwSGg0%3D" TargetMode="External"/><Relationship Id="rId19" Type="http://schemas.openxmlformats.org/officeDocument/2006/relationships/hyperlink" Target="https://www.lcsc.com/product-detail/C28260.html?s_z=n_q_t_capacitor&amp;spm=wm.fly.bg.1.xh___wm.ssy.tc.0.tz&amp;lcsc_vid=QgJZVQJQRlgMVQJTT1NYVVFeFgdcVgBSEQNaU1FXTwcxVlNeQFRdVlVURVhXUjsOAxUeFF5JWBYZEEoKFBINSQcJGk4NBhADEA4cHktXQVhaSQwSGg0%3D" TargetMode="External"/><Relationship Id="rId20" Type="http://schemas.openxmlformats.org/officeDocument/2006/relationships/hyperlink" Target="https://www.lcsc.com/product-detail/C153036.html?s_z=n_q_t_capacitor&amp;spm=wm.fly.bg.3.xh___wm.ssy.tc.0.tz&amp;lcsc_vid=QgJZVQJQRlgMVQJTT1NYVVFeFgdcVgBSEQNaU1FXTwcxVlNeQFRdVlVURVhXUjsOAxUeFF5JWBYZEEoKFBINSQcJGk4NBhADEA4cHktXQVhaSQwSGg0%3D" TargetMode="External"/><Relationship Id="rId21" Type="http://schemas.openxmlformats.org/officeDocument/2006/relationships/hyperlink" Target="https://www.lcsc.com/product-detail/C2918511.html?s_z=n_q_t_capacitor&amp;spm=wm.fly.bg.3.xh___wm.ssy.tc.0.tz&amp;lcsc_vid=QgJZVQJQRlgMVQJTT1NYVVFeFgdcVgBSEQNaU1FXTwcxVlNeQFRdVlVURVhXUjsOAxUeFF5JWBYZEEoKFBINSQcJGk4NBhADEA4cHktXQVhaSQwSGg0%3D" TargetMode="External"/><Relationship Id="rId22" Type="http://schemas.openxmlformats.org/officeDocument/2006/relationships/hyperlink" Target="https://www.lcsc.com/product-detail/C15771.html?s_z=n_q_PESD1CAN&amp;spm=wm.fly.bg.0.xh&amp;lcsc_vid=QgJZVQJQRlgMVQJTT1NYVVFeFgdcVgBSEQNaU1FXTwcxVlNeQFRfUVNWRVdfUDsOAxUeFF5JWBYZEEoKFBINSQcJGk4eFQsCAgIaSgADAwAHC0slRlhfV1VWWQkaCgg%3D" TargetMode="External"/><Relationship Id="rId23" Type="http://schemas.openxmlformats.org/officeDocument/2006/relationships/hyperlink" Target="https://www.lcsc.com/product-detail/C2297.html?s_z=n_q_C2297&amp;globalKeyword=C2297" TargetMode="External"/><Relationship Id="rId24" Type="http://schemas.openxmlformats.org/officeDocument/2006/relationships/hyperlink" Target="https://www.lcsc.com/product-detail/C2295.html?s_z=n_q_c2295&amp;globalKeyword=c2295" TargetMode="External"/><Relationship Id="rId25" Type="http://schemas.openxmlformats.org/officeDocument/2006/relationships/hyperlink" Target="https://www.lcsc.com/product-detail/C19330.html?s_z=n_q_BLM18AG601SN1D&amp;spm=wm.fly.bg.0.xh&amp;lcsc_vid=QgJZVQJQRlgMVQJTT1NYVVFeFgdcVgBSEQNaU1FXTwcxVlNeQFRfUldTRFZXXzsOAxUeFF5JWBYZEEoKFBINSQcJGk4MFQUIE0wKAhAHHg1BVFdWWQkaCgg%3D" TargetMode="External"/><Relationship Id="rId26" Type="http://schemas.openxmlformats.org/officeDocument/2006/relationships/hyperlink" Target="https://www.lcsc.com/product-detail/C728563.html?s_z=n_q_t_resistor&amp;spm=wm.fly.bg.2.xh___wm.ssy.tc.0.tz&amp;lcsc_vid=QgJZVQJQRlgMVQJTT1NYVVFeFgdcVgBSEQNaU1FXTwcxVlNeQFRcV11XTlBdUjsOAxUeFF5JWBYZEEoKFBINSQcJGk4eFQsCAgIaSgADAwAHC0slRVhdVFRfQ08GEwkK" TargetMode="External"/><Relationship Id="rId27" Type="http://schemas.openxmlformats.org/officeDocument/2006/relationships/hyperlink" Target="https://www.lcsc.com/product-detail/C2906874.html?s_z=n_q_t_resistor&amp;spm=wm.fly.bg.3.xh___wm.ssy.tc.0.tz&amp;lcsc_vid=QgJZVQJQRlgMVQJTT1NYVVFeFgdcVgBSEQNaU1FXTwcxVlNeQFRcV11XTlBdUjsOAxUeFF5JWBYZEEoKFBINSQcJGk4eFQsCAgIaSgADAwAHC0slRVhdVFRfQ08GEwkK" TargetMode="External"/><Relationship Id="rId28" Type="http://schemas.openxmlformats.org/officeDocument/2006/relationships/hyperlink" Target="https://www.lcsc.com/product-detail/C144808.html?s_z=n_q_t_resistor&amp;spm=wm.fly.bg.5.xh___wm.ssy.tc.0.tz&amp;lcsc_vid=QgJZVQJQRlgMVQJTT1NYVVFeFgdcVgBSEQNaU1FXTwcxVlNeQFRcV11XTlBdUjsOAxUeFF5JWBYZEEoKFBINSQcJGk4eFQsCAgIaSgADAwAHC0slRVhdVFRfQ08GEwkK" TargetMode="External"/><Relationship Id="rId29" Type="http://schemas.openxmlformats.org/officeDocument/2006/relationships/hyperlink" Target="https://www.lcsc.com/product-detail/C384326.html?s_z=n_q_t_resistor&amp;spm=wm.fly.bg.17.xh___wm.ssy.tc.0.tz&amp;lcsc_vid=QgJZVQJQRlgMVQJTT1NYVVFeFgdcVgBSEQNaU1FXTwcxVlNeQFRcUVZXR1ldVDsOAxUeFF5JWBYZEEoKFBINSQcJGk4eFQsCAgIaSgADAwAHC0slRlRZUFVIHxUDCw%3D%3D" TargetMode="External"/><Relationship Id="rId30" Type="http://schemas.openxmlformats.org/officeDocument/2006/relationships/hyperlink" Target="https://www.lcsc.com/product-detail/C2906888.html?s_z=n_q_t_resistor&amp;spm=wm.fly.bg.4.xh___wm.ssy.tc.0.tz&amp;lcsc_vid=QgJZVQJQRlgMVQJTT1NYVVFeFgdcVgBSEQNaU1FXTwcxVlNeQFRcUVZXR1ldVDsOAxUeFF5JWBYZEEoKFBINSQcJGk4eFQsCAgIaSgADAwAHC0slRlRZUFVIHxUDCw%3D%3D" TargetMode="External"/><Relationship Id="rId31" Type="http://schemas.openxmlformats.org/officeDocument/2006/relationships/hyperlink" Target="https://www.lcsc.com/product-detail/C54920707.html?s_z=n_q_t_resistor&amp;spm=wm.fly.bg.4.xh___wm.ssy.tc.0.tz&amp;lcsc_vid=QgJZVQJQRlgMVQJTT1NYVVFeFgdcVgBSEQNaU1FXTwcxVlNeQFRcUVZXR1ldVDsOAxUeFF5JWBYZEEoKFBINSQcJGk4eFQsCAgIaSgADAwAHC0slRlRZUFVIHxUDCw%3D%3D" TargetMode="External"/><Relationship Id="rId32" Type="http://schemas.openxmlformats.org/officeDocument/2006/relationships/hyperlink" Target="https://www.lcsc.com/product-detail/C2076590.html?s_z=n_q_t_resistor&amp;spm=wm.fly.bg.7.xh___wm.ssy.tc.0.tz&amp;lcsc_vid=QgJZVQJQRlgMVQJTT1NYVVFeFgdcVgBSEQNaU1FXTwcxVlNeQFRcUVZXR1ldVDsOAxUeFF5JWBYZEEoKFBINSQcJGk4eFQsCAgIaSgADAwAHC0slRlRZUFVIHxUDCw%3D%3D" TargetMode="External"/><Relationship Id="rId33" Type="http://schemas.openxmlformats.org/officeDocument/2006/relationships/hyperlink" Target="https://www.lcsc.com/product-detail/C2906859.html?s_z=n_q_t_resistor&amp;spm=wm.fly.bg.3.xh___wm.ssy.tc.0.tz&amp;lcsc_vid=QgJZVQJQRlgMVQJTT1NYVVFeFgdcVgBSEQNaU1FXTwcxVlNeQFRcUVZXR1ldVDsOAxUeFF5JWBYZEEoKFBINSQcJGk4eFQsCAgIaSgADAwAHC0slRlRZUFVIHxUDCw%3D%3D" TargetMode="External"/><Relationship Id="rId34" Type="http://schemas.openxmlformats.org/officeDocument/2006/relationships/hyperlink" Target="https://www.lcsc.com/product-detail/C2929994.html?s_z=n_q_t_resistor&amp;spm=wm.fly.bg.2.xh___wm.ssy.tc.0.tz&amp;lcsc_vid=QgJZVQJQRlgMVQJTT1NYVVFeFgdcVgBSEQNaU1FXTwcxVlNeQFRcUVZXR1ldVDsOAxUeFF5JWBYZEEoKFBINSQcJGk4eFQsCAgIaSgADAwAHC0slRlRZUFVIHxUDCw%3D%3D" TargetMode="External"/><Relationship Id="rId35" Type="http://schemas.openxmlformats.org/officeDocument/2006/relationships/hyperlink" Target="https://www.lcsc.com/product-detail/C170322.html?s_z=n_q_t_resistor&amp;spm=wm.fly.bg.5.xh___wm.ssy.tc.0.tz&amp;lcsc_vid=QgJZVQJQRlgMVQJTT1NYVVFeFgdcVgBSEQNaU1FXTwcxVlNeQFRcUVZXR1ldVDsOAxUeFF5JWBYZEEoKFBINSQcJGk4eFQsCAgIaSgADAwAHC0slRlRZUFVIHxUDCw%3D%3D" TargetMode="External"/><Relationship Id="rId36" Type="http://schemas.openxmlformats.org/officeDocument/2006/relationships/hyperlink" Target="https://www.lcsc.com/product-detail/C2960799.html?s_z=n_q_t_resistor&amp;spm=wm.fly.bg.3.xh___wm.ssy.tc.0.tz&amp;lcsc_vid=QgJZVQJQRlgMVQJTT1NYVVFeFgdcVgBSEQNaU1FXTwcxVlNeQFRcUVZXR1ldVDsOAxUeFF5JWBYZEEoKFBINSQcJGk4eFQsCAgIaSgADAwAHC0slRlRZUFVIHxUDCw%3D%3D" TargetMode="External"/><Relationship Id="rId37" Type="http://schemas.openxmlformats.org/officeDocument/2006/relationships/hyperlink" Target="https://www.lcsc.com/product-detail/C48996775.html?s_z=n_q_t_resistor&amp;spm=wm.fly.bg.2.xh___wm.ssy.tc.0.tz&amp;lcsc_vid=QgJZVQJQRlgMVQJTT1NYVVFeFgdcVgBSEQNaU1FXTwcxVlNeQFRcUVZXR1ldVDsOAxUeFF5JWBYZEEoKFBINSQcJGk4eFQsCAgIaSgADAwAHC0slRlRZUFVIHxUDCw%3D%3D" TargetMode="External"/><Relationship Id="rId38" Type="http://schemas.openxmlformats.org/officeDocument/2006/relationships/hyperlink" Target="https://www.lcsc.com/product-detail/C2933094.html?s_z=n_q_t_resistor&amp;spm=wm.fly.bg.0.xh___wm.ssy.tc.0.tz&amp;lcsc_vid=QgJZVQJQRlgMVQJTT1NYVVFeFgdcVgBSEQNaU1FXTwcxVlNeQFRcUVZXR1ldVDsOAxUeFF5JWBYZEEoKFBINSQcJGk4eFQsCAgIaSgADAwAHC0slRlRZUFVIHxUDCw%3D%3D" TargetMode="External"/><Relationship Id="rId39" Type="http://schemas.openxmlformats.org/officeDocument/2006/relationships/hyperlink" Target="https://www.lcsc.com/product-detail/C2909359.html?s_z=n_q_t_resistor&amp;spm=wm.fly.bg.0.xh___wm.ssy.tc.0.tz&amp;lcsc_vid=QgJZVQJQRlgMVQJTT1NYVVFeFgdcVgBSEQNaU1FXTwcxVlNeQFRdVVNRRFBcXjsOAxUeFF5JWBYZEEoKFBINSQcJGk4NBhADEA4cHktXRlVcSQwSGg0%3D" TargetMode="External"/><Relationship Id="rId40" Type="http://schemas.openxmlformats.org/officeDocument/2006/relationships/hyperlink" Target="https://www.lcsc.com/product-detail/C71617.html?s_z=n_q_t_resistor&amp;spm=wm.fly.bg.2.xh___wm.ssy.tc.0.tz&amp;lcsc_vid=QgJZVQJQRlgMVQJTT1NYVVFeFgdcVgBSEQNaU1FXTwcxVlNeQFRdVVNRRFBcXjsOAxUeFF5JWBYZEEoKFBINSQcJGk4NBhADEA4cHktXRlVcSQwSGg0%3D" TargetMode="External"/><Relationship Id="rId41" Type="http://schemas.openxmlformats.org/officeDocument/2006/relationships/hyperlink" Target="https://www.mouser.com/en/ProductDetail/Vishay-Dale/WSK25121L000FEA?qs=fncU5wK7Cm%2F1m%252BfswX3oww%3D%3D&amp;srsltid=AfmBOorHVSnFzXBDI8v_HFbs09VYb3OZRiBxrjSq6W0DcK8RV3VVmXYr" TargetMode="External"/><Relationship Id="rId42" Type="http://schemas.openxmlformats.org/officeDocument/2006/relationships/hyperlink" Target="https://www.digikey.com/en/products/detail/infineon-technologies/BSC057N08NS3GATMA1/2080628?s=N4IgTCBcDaIEIGUDCAGArAdgHIoBxYQGYBxAQQBUBZUgRhAF0BfIA" TargetMode="External"/><Relationship Id="rId43" Type="http://schemas.openxmlformats.org/officeDocument/2006/relationships/hyperlink" Target="https://www.digikey.com/en/products/detail/panasonic-industry/EEE-TKK221UAM/1975569?s=N4IgTCBcDaIKIICoGlljARgKoEECyIAugL5A" TargetMode="External"/><Relationship Id="rId44" Type="http://schemas.openxmlformats.org/officeDocument/2006/relationships/hyperlink" Target="https://www.digikey.com/en/products/detail/tdk-corporation/CGA9N2X7R2A475K230KA/2781366" TargetMode="External"/><Relationship Id="rId45" Type="http://schemas.openxmlformats.org/officeDocument/2006/relationships/hyperlink" Target="https://www.digikey.com/en/products/detail/w%C3%BCrth-elektronik/7447779147/9676096" TargetMode="External"/><Relationship Id="rId46" Type="http://schemas.openxmlformats.org/officeDocument/2006/relationships/hyperlink" Target="https://www.lcsc.com/product-detail/C5382952.html?s_z=n_q_FTSH-105-01-F-DV-K&amp;spm=wm.fly.bg.0.xh&amp;lcsc_vid=QgJZVQJQRlgMVQJTT1NYVVFeFgdcVgBSEQNaU1FXTwcxVlNeQFRfUVVfQ1ldVDsOAxUeFF5JWBYZEEoKFBINSQcJGk4eFQsCAgIaSgADAwAHC0slQlBaV1FfQ08GEwkK" TargetMode="External"/><Relationship Id="rId47" Type="http://schemas.openxmlformats.org/officeDocument/2006/relationships/hyperlink" Target="https://www.lcsc.com/product-detail/C98732.html?s_z=s_p_XT60PW-M&amp;spm=wm.fly.bg.0.xh&amp;lcsc_vid=QgJZVQJQRlgMVQJTT1NYVVFeFgdcVgBSEQNaU1FXTwcxVlNeQFRfUlFXQlVWXzsOAxUeFF5JWBYZEEoKFBINSQcJGk4dAgUUFAk%3D" TargetMode="External"/><Relationship Id="rId48" Type="http://schemas.openxmlformats.org/officeDocument/2006/relationships/hyperlink" Target="https://www.lcsc.com/product-detail/C157929.html?s_z=n_q_JST%2520S3B-PH-K-S&amp;spm=wm.fly.bg.1.xh&amp;lcsc_vid=QgJZVQJQRlgMVQJTT1NYVVFeFgdcVgBSEQNaU1FXTwcxVlNeQFRfUVxVT1ZXVDsOAxUeFF5JWBYZEEoKFBINSQcJGk4eFQsCAgIaSgADAwAHC0slRlRZUFVIHxUDCw%3D%3D" TargetMode="External"/><Relationship Id="rId49" Type="http://schemas.openxmlformats.org/officeDocument/2006/relationships/hyperlink" Target="https://www.lcsc.com/product-detail/C7095263.html?s_z=n_q_C7095263&amp;globalKeyword=C7095263" TargetMode="External"/><Relationship Id="rId50" Type="http://schemas.openxmlformats.org/officeDocument/2006/relationships/hyperlink" Target="https://www.lcsc.com/product-detail/C5140594.html?s_z=n_q_ABM8AIG-8.000MHZ-1Z-T%2520&amp;spm=wm.fly.bg.0.xh&amp;lcsc_vid=QgJZVQJQRlgMVQJTT1NYVVFeFgdcVgBSEQNaU1FXTwcxVlNeQFRfUVRfQ1dYVTsOAxUeFF5JWBYZEEoKFBINSQcJGk4NBhADEA4cHktXT1VcSQwSGg0%3D" TargetMode="External"/><Relationship Id="rId51" Type="http://schemas.openxmlformats.org/officeDocument/2006/relationships/hyperlink" Target="https://www.lcsc.com/product-detail/C2071198.html?s_z=n_q_LM5164DDAT&amp;spm=wm.fly.bg.0.xh&amp;lcsc_vid=QgJZVQJQRlgMVQJTT1NYVVFeFgdcVgBSEQNaU1FXTwcxVlNeQFRfUVBTR1hWXzsOAxUeFF5JWBYZEEoKFBINSQcJGk4NBhADEA4cHktRR1NADxALGw%3D%3D" TargetMode="External"/><Relationship Id="rId52" Type="http://schemas.openxmlformats.org/officeDocument/2006/relationships/hyperlink" Target="https://www.lcsc.com/product-detail/C42416242.html?spm=wm.fly.bg.0.xh&amp;lcsc_vid=QgJZVQJQRlgMVQJTT1NYVVFeFgdcVgBSEQNaU1FXTwcxVlNeQFRcXlFTT1VdVTsOAxUeFF5JWAICBhECEk8PDks%3D" TargetMode="External"/><Relationship Id="rId53" Type="http://schemas.openxmlformats.org/officeDocument/2006/relationships/hyperlink" Target="https://www.lcsc.com/product-detail/C7527760.html?s_z=n_q_1%2520position%2520dip%2520switch&amp;spm=wm.fly.bg.1.xh&amp;lcsc_vid=QgJZVQJQRlgMVQJTT1NYVVFeFgdcVgBSEQNaU1FXTwcxVlNeQFRdV1dTQlJdXjsOAxUeFF5JWBYZEEoKFBINSQcJGk4eFQsCAgIaSgADAwAHC0slRVNfUlJTWQkaCgg%3D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2:E60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53.4141" style="1" customWidth="1"/>
    <col min="2" max="4" width="16.3516" style="1" customWidth="1"/>
    <col min="5" max="5" width="25.75" style="1" customWidth="1"/>
    <col min="6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</row>
    <row r="2" ht="47.4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</row>
    <row r="3" ht="30.45" customHeight="1">
      <c r="A3" t="s" s="4">
        <v>6</v>
      </c>
      <c r="B3" s="5">
        <v>7.51</v>
      </c>
      <c r="C3" s="6">
        <v>5</v>
      </c>
      <c r="D3" s="6">
        <v>5</v>
      </c>
      <c r="E3" s="6">
        <v>7.51</v>
      </c>
    </row>
    <row r="4" ht="47.25" customHeight="1">
      <c r="A4" t="s" s="7">
        <v>7</v>
      </c>
      <c r="B4" s="8">
        <v>14.16</v>
      </c>
      <c r="C4" s="9">
        <v>5</v>
      </c>
      <c r="D4" s="9">
        <v>5</v>
      </c>
      <c r="E4" s="9">
        <v>14.16</v>
      </c>
    </row>
    <row r="5" ht="47.25" customHeight="1">
      <c r="A5" t="s" s="10">
        <v>8</v>
      </c>
      <c r="B5" s="8">
        <v>14.26</v>
      </c>
      <c r="C5" s="9">
        <v>5</v>
      </c>
      <c r="D5" s="9">
        <v>5</v>
      </c>
      <c r="E5" s="9">
        <v>14.26</v>
      </c>
    </row>
    <row r="6" ht="47.25" customHeight="1">
      <c r="A6" t="s" s="10">
        <v>9</v>
      </c>
      <c r="B6" s="8">
        <v>1.28</v>
      </c>
      <c r="C6" s="9">
        <v>7</v>
      </c>
      <c r="D6" s="9">
        <v>5</v>
      </c>
      <c r="E6" s="9">
        <v>0.91</v>
      </c>
    </row>
    <row r="7" ht="47.25" customHeight="1">
      <c r="A7" t="s" s="10">
        <v>10</v>
      </c>
      <c r="B7" s="8">
        <v>8.68</v>
      </c>
      <c r="C7" s="9">
        <v>5</v>
      </c>
      <c r="D7" s="9">
        <v>5</v>
      </c>
      <c r="E7" s="9">
        <v>8.68</v>
      </c>
    </row>
    <row r="8" ht="47.25" customHeight="1">
      <c r="A8" t="s" s="10">
        <v>11</v>
      </c>
      <c r="B8" s="8">
        <v>0.49</v>
      </c>
      <c r="C8" s="9">
        <v>13</v>
      </c>
      <c r="D8" s="9">
        <v>5</v>
      </c>
      <c r="E8" s="9">
        <v>0.19</v>
      </c>
    </row>
    <row r="9" ht="47.25" customHeight="1">
      <c r="A9" t="s" s="10">
        <v>12</v>
      </c>
      <c r="B9" s="8">
        <v>0.9</v>
      </c>
      <c r="C9" s="9">
        <v>9</v>
      </c>
      <c r="D9" s="9">
        <v>5</v>
      </c>
      <c r="E9" s="9">
        <v>0.5</v>
      </c>
    </row>
    <row r="10" ht="47.25" customHeight="1">
      <c r="A10" t="s" s="10">
        <v>13</v>
      </c>
      <c r="B10" s="8">
        <v>0.43</v>
      </c>
      <c r="C10" s="9">
        <v>20</v>
      </c>
      <c r="D10" s="9">
        <v>5</v>
      </c>
      <c r="E10" s="9">
        <v>0.11</v>
      </c>
    </row>
    <row r="11" ht="47.25" customHeight="1">
      <c r="A11" t="s" s="10">
        <v>14</v>
      </c>
      <c r="B11" s="8">
        <v>2.48</v>
      </c>
      <c r="C11" s="9">
        <v>5</v>
      </c>
      <c r="D11" s="9">
        <v>5</v>
      </c>
      <c r="E11" s="9">
        <v>2.48</v>
      </c>
    </row>
    <row r="12" ht="64.25" customHeight="1">
      <c r="A12" t="s" s="10">
        <v>15</v>
      </c>
      <c r="B12" s="8">
        <v>0.68</v>
      </c>
      <c r="C12" s="9">
        <v>23</v>
      </c>
      <c r="D12" s="9">
        <v>15</v>
      </c>
      <c r="E12" s="9">
        <v>0.44</v>
      </c>
    </row>
    <row r="13" ht="47.25" customHeight="1">
      <c r="A13" t="s" s="10">
        <v>16</v>
      </c>
      <c r="B13" s="8">
        <v>0.06</v>
      </c>
      <c r="C13" s="9">
        <v>20</v>
      </c>
      <c r="D13" s="9">
        <v>5</v>
      </c>
      <c r="E13" s="9">
        <v>0.02</v>
      </c>
    </row>
    <row r="14" ht="47.25" customHeight="1">
      <c r="A14" t="s" s="10">
        <v>17</v>
      </c>
      <c r="B14" s="8">
        <v>0.08</v>
      </c>
      <c r="C14" s="9">
        <v>25</v>
      </c>
      <c r="D14" s="9">
        <v>15</v>
      </c>
      <c r="E14" s="9">
        <v>0.05</v>
      </c>
    </row>
    <row r="15" ht="64.25" customHeight="1">
      <c r="A15" t="s" s="10">
        <v>18</v>
      </c>
      <c r="B15" s="8">
        <v>1.37</v>
      </c>
      <c r="C15" s="9">
        <v>70</v>
      </c>
      <c r="D15" s="9">
        <v>45</v>
      </c>
      <c r="E15" s="9">
        <v>0.88</v>
      </c>
    </row>
    <row r="16" ht="47.25" customHeight="1">
      <c r="A16" t="s" s="10">
        <v>19</v>
      </c>
      <c r="B16" s="8">
        <v>0.23</v>
      </c>
      <c r="C16" s="9">
        <v>9</v>
      </c>
      <c r="D16" s="9">
        <v>5</v>
      </c>
      <c r="E16" s="9">
        <v>0.13</v>
      </c>
    </row>
    <row r="17" ht="47.25" customHeight="1">
      <c r="A17" t="s" s="10">
        <v>20</v>
      </c>
      <c r="B17" s="8">
        <v>0.19</v>
      </c>
      <c r="C17" s="9">
        <v>20</v>
      </c>
      <c r="D17" s="9">
        <v>10</v>
      </c>
      <c r="E17" s="9">
        <v>0.1</v>
      </c>
    </row>
    <row r="18" ht="47.25" customHeight="1">
      <c r="A18" t="s" s="10">
        <v>21</v>
      </c>
      <c r="B18" s="8">
        <v>0.06</v>
      </c>
      <c r="C18" s="9">
        <v>20</v>
      </c>
      <c r="D18" s="9">
        <v>5</v>
      </c>
      <c r="E18" s="9">
        <v>0.015</v>
      </c>
    </row>
    <row r="19" ht="47.25" customHeight="1">
      <c r="A19" t="s" s="10">
        <v>22</v>
      </c>
      <c r="B19" s="8">
        <v>0.19</v>
      </c>
      <c r="C19" s="9">
        <v>20</v>
      </c>
      <c r="D19" s="9">
        <v>5</v>
      </c>
      <c r="E19" s="9">
        <v>0.05</v>
      </c>
    </row>
    <row r="20" ht="47.25" customHeight="1">
      <c r="A20" t="s" s="10">
        <v>23</v>
      </c>
      <c r="B20" s="8">
        <v>0.11</v>
      </c>
      <c r="C20" s="9">
        <v>20</v>
      </c>
      <c r="D20" s="9">
        <v>5</v>
      </c>
      <c r="E20" s="9">
        <v>0.03</v>
      </c>
    </row>
    <row r="21" ht="47.25" customHeight="1">
      <c r="A21" t="s" s="10">
        <v>24</v>
      </c>
      <c r="B21" s="8">
        <v>0.29</v>
      </c>
      <c r="C21" s="9">
        <v>9</v>
      </c>
      <c r="D21" s="9">
        <v>5</v>
      </c>
      <c r="E21" s="9">
        <v>0.16</v>
      </c>
    </row>
    <row r="22" ht="64.25" customHeight="1">
      <c r="A22" t="s" s="10">
        <v>25</v>
      </c>
      <c r="B22" s="8">
        <v>1.83</v>
      </c>
      <c r="C22" s="9">
        <v>14</v>
      </c>
      <c r="D22" s="9">
        <v>10</v>
      </c>
      <c r="E22" s="9">
        <v>1.31</v>
      </c>
    </row>
    <row r="23" ht="64.25" customHeight="1">
      <c r="A23" t="s" s="10">
        <v>26</v>
      </c>
      <c r="B23" s="8">
        <v>0.36</v>
      </c>
      <c r="C23" s="9">
        <v>9</v>
      </c>
      <c r="D23" s="9">
        <v>5</v>
      </c>
      <c r="E23" s="9">
        <v>0.2</v>
      </c>
    </row>
    <row r="24" ht="47.25" customHeight="1">
      <c r="A24" t="s" s="10">
        <v>27</v>
      </c>
      <c r="B24" s="8">
        <v>0.63</v>
      </c>
      <c r="C24" s="9">
        <v>9</v>
      </c>
      <c r="D24" s="9">
        <v>5</v>
      </c>
      <c r="E24" s="9">
        <v>0.35</v>
      </c>
    </row>
    <row r="25" ht="47.25" customHeight="1">
      <c r="A25" t="s" s="10">
        <v>28</v>
      </c>
      <c r="B25" s="8">
        <v>0.24</v>
      </c>
      <c r="C25" s="9">
        <v>20</v>
      </c>
      <c r="D25" s="9">
        <v>5</v>
      </c>
      <c r="E25" s="9">
        <v>0.05</v>
      </c>
    </row>
    <row r="26" ht="47.25" customHeight="1">
      <c r="A26" t="s" s="10">
        <v>29</v>
      </c>
      <c r="B26" s="8">
        <v>0.17</v>
      </c>
      <c r="C26" s="9">
        <v>20</v>
      </c>
      <c r="D26" s="9">
        <v>5</v>
      </c>
      <c r="E26" s="9">
        <v>0.03</v>
      </c>
    </row>
    <row r="27" ht="47.25" customHeight="1">
      <c r="A27" t="s" s="10">
        <v>30</v>
      </c>
      <c r="B27" s="8">
        <v>0.29</v>
      </c>
      <c r="C27" s="9">
        <v>20</v>
      </c>
      <c r="D27" s="9">
        <v>5</v>
      </c>
      <c r="E27" s="9">
        <v>0.07000000000000001</v>
      </c>
    </row>
    <row r="28" ht="47.25" customHeight="1">
      <c r="A28" t="s" s="10">
        <v>31</v>
      </c>
      <c r="B28" s="8">
        <v>0.59</v>
      </c>
      <c r="C28" s="9">
        <v>20</v>
      </c>
      <c r="D28" s="9">
        <v>5</v>
      </c>
      <c r="E28" s="9">
        <v>0.15</v>
      </c>
    </row>
    <row r="29" ht="47.25" customHeight="1">
      <c r="A29" t="s" s="10">
        <v>32</v>
      </c>
      <c r="B29" s="8">
        <v>0.08</v>
      </c>
      <c r="C29" s="9">
        <v>40</v>
      </c>
      <c r="D29" s="9">
        <v>30</v>
      </c>
      <c r="E29" s="9">
        <v>0.06</v>
      </c>
    </row>
    <row r="30" ht="47.25" customHeight="1">
      <c r="A30" t="s" s="10">
        <v>33</v>
      </c>
      <c r="B30" s="8">
        <v>0.03</v>
      </c>
      <c r="C30" s="9">
        <v>25</v>
      </c>
      <c r="D30" s="9">
        <v>15</v>
      </c>
      <c r="E30" s="9">
        <v>0.02</v>
      </c>
    </row>
    <row r="31" ht="47.25" customHeight="1">
      <c r="A31" t="s" s="10">
        <v>34</v>
      </c>
      <c r="B31" s="8">
        <v>0.04</v>
      </c>
      <c r="C31" s="9">
        <v>20</v>
      </c>
      <c r="D31" s="9">
        <v>5</v>
      </c>
      <c r="E31" s="9">
        <v>0.01</v>
      </c>
    </row>
    <row r="32" ht="47.25" customHeight="1">
      <c r="A32" t="s" s="10">
        <v>35</v>
      </c>
      <c r="B32" s="8">
        <v>0.04</v>
      </c>
      <c r="C32" s="9">
        <v>20</v>
      </c>
      <c r="D32" s="9">
        <v>5</v>
      </c>
      <c r="E32" s="9">
        <v>0.01</v>
      </c>
    </row>
    <row r="33" ht="81.25" customHeight="1">
      <c r="A33" t="s" s="10">
        <v>36</v>
      </c>
      <c r="B33" s="8">
        <v>0.02</v>
      </c>
      <c r="C33" s="9">
        <v>20</v>
      </c>
      <c r="D33" s="9">
        <v>5</v>
      </c>
      <c r="E33" s="9">
        <v>0.005</v>
      </c>
    </row>
    <row r="34" ht="47.25" customHeight="1">
      <c r="A34" t="s" s="10">
        <v>37</v>
      </c>
      <c r="B34" s="8">
        <v>0.14</v>
      </c>
      <c r="C34" s="9">
        <v>0.2</v>
      </c>
      <c r="D34" s="9">
        <v>5</v>
      </c>
      <c r="E34" s="9">
        <v>0.035</v>
      </c>
    </row>
    <row r="35" ht="47.25" customHeight="1">
      <c r="A35" t="s" s="10">
        <v>38</v>
      </c>
      <c r="B35" s="8">
        <v>0.01</v>
      </c>
      <c r="C35" s="9">
        <v>20</v>
      </c>
      <c r="D35" s="9">
        <v>10</v>
      </c>
      <c r="E35" s="9">
        <v>0.005</v>
      </c>
    </row>
    <row r="36" ht="47.25" customHeight="1">
      <c r="A36" t="s" s="10">
        <v>39</v>
      </c>
      <c r="B36" s="8">
        <v>0.04</v>
      </c>
      <c r="C36" s="9">
        <v>20</v>
      </c>
      <c r="D36" s="9">
        <v>10</v>
      </c>
      <c r="E36" s="9">
        <v>0.02</v>
      </c>
    </row>
    <row r="37" ht="47.25" customHeight="1">
      <c r="A37" t="s" s="10">
        <v>40</v>
      </c>
      <c r="B37" s="8">
        <v>0.04</v>
      </c>
      <c r="C37" s="9">
        <v>20</v>
      </c>
      <c r="D37" s="9">
        <v>5</v>
      </c>
      <c r="E37" s="9">
        <v>0.01</v>
      </c>
    </row>
    <row r="38" ht="64.25" customHeight="1">
      <c r="A38" t="s" s="10">
        <v>41</v>
      </c>
      <c r="B38" s="8">
        <v>0.04</v>
      </c>
      <c r="C38" s="9">
        <v>20</v>
      </c>
      <c r="D38" s="9">
        <v>5</v>
      </c>
      <c r="E38" s="9">
        <v>0.01</v>
      </c>
    </row>
    <row r="39" ht="47.25" customHeight="1">
      <c r="A39" t="s" s="10">
        <v>42</v>
      </c>
      <c r="B39" s="8">
        <v>0.02</v>
      </c>
      <c r="C39" s="9">
        <v>20</v>
      </c>
      <c r="D39" s="9">
        <v>10</v>
      </c>
      <c r="E39" s="9">
        <v>0.01</v>
      </c>
    </row>
    <row r="40" ht="47.25" customHeight="1">
      <c r="A40" t="s" s="10">
        <v>43</v>
      </c>
      <c r="B40" s="8">
        <v>0.09</v>
      </c>
      <c r="C40" s="9">
        <v>40</v>
      </c>
      <c r="D40" s="9">
        <v>30</v>
      </c>
      <c r="E40" s="9">
        <v>0.07000000000000001</v>
      </c>
    </row>
    <row r="41" ht="47.25" customHeight="1">
      <c r="A41" t="s" s="10">
        <v>44</v>
      </c>
      <c r="B41" s="8">
        <v>0.05</v>
      </c>
      <c r="C41" s="9">
        <v>20</v>
      </c>
      <c r="D41" s="9">
        <v>5</v>
      </c>
      <c r="E41" s="9">
        <v>0.01</v>
      </c>
    </row>
    <row r="42" ht="47.25" customHeight="1">
      <c r="A42" t="s" s="10">
        <v>45</v>
      </c>
      <c r="B42" s="8">
        <v>0.08</v>
      </c>
      <c r="C42" s="9">
        <v>20</v>
      </c>
      <c r="D42" s="9">
        <v>5</v>
      </c>
      <c r="E42" s="9">
        <v>0.02</v>
      </c>
    </row>
    <row r="43" ht="64.25" customHeight="1">
      <c r="A43" t="s" s="7">
        <v>46</v>
      </c>
      <c r="B43" s="8">
        <v>37.62</v>
      </c>
      <c r="C43" s="9">
        <v>15</v>
      </c>
      <c r="D43" s="9">
        <v>15</v>
      </c>
      <c r="E43" s="9">
        <v>37.62</v>
      </c>
    </row>
    <row r="44" ht="47.25" customHeight="1">
      <c r="A44" t="s" s="7">
        <v>47</v>
      </c>
      <c r="B44" s="8">
        <v>65.73999999999999</v>
      </c>
      <c r="C44" s="9">
        <v>30</v>
      </c>
      <c r="D44" s="9">
        <v>30</v>
      </c>
      <c r="E44" s="9">
        <v>65.73999999999999</v>
      </c>
    </row>
    <row r="45" ht="64.25" customHeight="1">
      <c r="A45" t="s" s="7">
        <v>48</v>
      </c>
      <c r="B45" s="8">
        <v>31.81</v>
      </c>
      <c r="C45" s="9">
        <v>10</v>
      </c>
      <c r="D45" s="9">
        <v>10</v>
      </c>
      <c r="E45" s="9">
        <v>31.81</v>
      </c>
    </row>
    <row r="46" ht="64.25" customHeight="1">
      <c r="A46" t="s" s="7">
        <v>49</v>
      </c>
      <c r="B46" s="8">
        <v>25.11</v>
      </c>
      <c r="C46" s="9">
        <v>10</v>
      </c>
      <c r="D46" s="9">
        <v>10</v>
      </c>
      <c r="E46" s="9">
        <v>25.11</v>
      </c>
    </row>
    <row r="47" ht="47.25" customHeight="1">
      <c r="A47" t="s" s="7">
        <v>50</v>
      </c>
      <c r="B47" s="8">
        <v>16.92</v>
      </c>
      <c r="C47" s="9">
        <v>5</v>
      </c>
      <c r="D47" s="9">
        <v>5</v>
      </c>
      <c r="E47" s="9">
        <v>16.92</v>
      </c>
    </row>
    <row r="48" ht="64.25" customHeight="1">
      <c r="A48" t="s" s="10">
        <v>51</v>
      </c>
      <c r="B48" s="8">
        <v>7.48</v>
      </c>
      <c r="C48" s="9">
        <v>5</v>
      </c>
      <c r="D48" s="9">
        <v>5</v>
      </c>
      <c r="E48" s="9">
        <v>7.48</v>
      </c>
    </row>
    <row r="49" ht="30.25" customHeight="1">
      <c r="A49" t="s" s="10">
        <v>52</v>
      </c>
      <c r="B49" s="8">
        <v>3</v>
      </c>
      <c r="C49" s="9">
        <v>5</v>
      </c>
      <c r="D49" s="9">
        <v>5</v>
      </c>
      <c r="E49" s="9">
        <v>3</v>
      </c>
    </row>
    <row r="50" ht="47.25" customHeight="1">
      <c r="A50" t="s" s="10">
        <v>53</v>
      </c>
      <c r="B50" s="8">
        <v>0.41</v>
      </c>
      <c r="C50" s="9">
        <v>11</v>
      </c>
      <c r="D50" s="9">
        <v>10</v>
      </c>
      <c r="E50" s="9">
        <v>0.41</v>
      </c>
    </row>
    <row r="51" ht="30.25" customHeight="1">
      <c r="A51" t="s" s="10">
        <v>54</v>
      </c>
      <c r="B51" s="8">
        <v>7.03</v>
      </c>
      <c r="C51" s="9">
        <v>5</v>
      </c>
      <c r="D51" s="9">
        <v>5</v>
      </c>
      <c r="E51" s="9">
        <v>7.03</v>
      </c>
    </row>
    <row r="52" ht="47.25" customHeight="1">
      <c r="A52" t="s" s="10">
        <v>55</v>
      </c>
      <c r="B52" s="8">
        <v>5.35</v>
      </c>
      <c r="C52" s="9">
        <v>5</v>
      </c>
      <c r="D52" s="9">
        <v>5</v>
      </c>
      <c r="E52" s="9">
        <v>5.35</v>
      </c>
    </row>
    <row r="53" ht="64.25" customHeight="1">
      <c r="A53" t="s" s="10">
        <v>56</v>
      </c>
      <c r="B53" s="8">
        <v>10.25</v>
      </c>
      <c r="C53" s="9">
        <v>5</v>
      </c>
      <c r="D53" s="9">
        <v>5</v>
      </c>
      <c r="E53" s="9">
        <v>10.25</v>
      </c>
    </row>
    <row r="54" ht="47.25" customHeight="1">
      <c r="A54" t="s" s="10">
        <v>57</v>
      </c>
      <c r="B54" s="8">
        <v>0.11</v>
      </c>
      <c r="C54" s="9">
        <v>5</v>
      </c>
      <c r="D54" s="9">
        <v>5</v>
      </c>
      <c r="E54" s="9">
        <v>0.11</v>
      </c>
    </row>
    <row r="55" ht="64.25" customHeight="1">
      <c r="A55" t="s" s="10">
        <v>58</v>
      </c>
      <c r="B55" s="8">
        <v>1.22</v>
      </c>
      <c r="C55" s="9">
        <v>5</v>
      </c>
      <c r="D55" s="9">
        <v>5</v>
      </c>
      <c r="E55" s="9">
        <v>1.22</v>
      </c>
    </row>
    <row r="56" ht="30.25" customHeight="1">
      <c r="A56" s="11"/>
      <c r="B56" s="12"/>
      <c r="C56" s="13"/>
      <c r="D56" s="13"/>
      <c r="E56" s="14"/>
    </row>
    <row r="57" ht="30.25" customHeight="1">
      <c r="A57" t="s" s="15">
        <v>59</v>
      </c>
      <c r="B57" t="s" s="16">
        <v>60</v>
      </c>
      <c r="C57" s="13"/>
      <c r="D57" s="13"/>
      <c r="E57" s="13"/>
    </row>
    <row r="58" ht="30.25" customHeight="1">
      <c r="A58" t="s" s="17">
        <v>61</v>
      </c>
      <c r="B58" s="8">
        <f>SUM(B3:B55)</f>
        <v>270.33</v>
      </c>
      <c r="C58" s="13"/>
      <c r="D58" s="13"/>
      <c r="E58" s="13"/>
    </row>
    <row r="59" ht="30.25" customHeight="1">
      <c r="A59" t="s" s="17">
        <v>62</v>
      </c>
      <c r="B59" s="8">
        <f>SUM((E3:E55))</f>
        <v>265.18</v>
      </c>
      <c r="C59" s="13"/>
      <c r="D59" s="13"/>
      <c r="E59" s="13"/>
    </row>
    <row r="60" ht="30.25" customHeight="1">
      <c r="A60" t="s" s="17">
        <v>63</v>
      </c>
      <c r="B60" s="8">
        <f>B59/5</f>
        <v>53.036</v>
      </c>
      <c r="C60" s="13"/>
      <c r="D60" s="13"/>
      <c r="E60" s="13"/>
    </row>
  </sheetData>
  <mergeCells count="1">
    <mergeCell ref="A1:E1"/>
  </mergeCells>
  <hyperlinks>
    <hyperlink ref="A3" r:id="rId1" location="" tooltip="" display="LCSC"/>
    <hyperlink ref="A4" r:id="rId2" location="" tooltip="" display="Mouser"/>
    <hyperlink ref="A5" r:id="rId3" location="" tooltip="" display="LCSC"/>
    <hyperlink ref="A6" r:id="rId4" location="" tooltip="" display="LCSC"/>
    <hyperlink ref="A7" r:id="rId5" location="" tooltip="" display="LCSC"/>
    <hyperlink ref="A8" r:id="rId6" location="" tooltip="" display="LCSC"/>
    <hyperlink ref="A9" r:id="rId7" location="" tooltip="" display="LCSC"/>
    <hyperlink ref="A10" r:id="rId8" location="" tooltip="" display="LCSC"/>
    <hyperlink ref="A11" r:id="rId9" location="" tooltip="" display="LCSC"/>
    <hyperlink ref="A12" r:id="rId10" location="" tooltip="" display="LCSC"/>
    <hyperlink ref="A13" r:id="rId11" location="" tooltip="" display="LCSC"/>
    <hyperlink ref="A14" r:id="rId12" location="" tooltip="" display="LCSC"/>
    <hyperlink ref="A15" r:id="rId13" location="" tooltip="" display="LCSC"/>
    <hyperlink ref="A16" r:id="rId14" location="" tooltip="" display="LCSC"/>
    <hyperlink ref="A17" r:id="rId15" location="" tooltip="" display="LCSC"/>
    <hyperlink ref="A18" r:id="rId16" location="" tooltip="" display="LCSC"/>
    <hyperlink ref="A19" r:id="rId17" location="" tooltip="" display="LCSC"/>
    <hyperlink ref="A20" r:id="rId18" location="" tooltip="" display="LCSC"/>
    <hyperlink ref="A21" r:id="rId19" location="" tooltip="" display="LCSC"/>
    <hyperlink ref="A22" r:id="rId20" location="" tooltip="" display="LCSC"/>
    <hyperlink ref="A23" r:id="rId21" location="" tooltip="" display="LCSC"/>
    <hyperlink ref="A24" r:id="rId22" location="" tooltip="" display="LCSC"/>
    <hyperlink ref="A25" r:id="rId23" location="" tooltip="" display="LCSC"/>
    <hyperlink ref="A26" r:id="rId24" location="" tooltip="" display="LCSC"/>
    <hyperlink ref="A27" r:id="rId25" location="" tooltip="" display="LCSC"/>
    <hyperlink ref="A28" r:id="rId26" location="" tooltip="" display="LCSC"/>
    <hyperlink ref="A29" r:id="rId27" location="" tooltip="" display="LCSC"/>
    <hyperlink ref="A30" r:id="rId28" location="" tooltip="" display="LCSC"/>
    <hyperlink ref="A31" r:id="rId29" location="" tooltip="" display="LCSC"/>
    <hyperlink ref="A32" r:id="rId30" location="" tooltip="" display="LCSC"/>
    <hyperlink ref="A33" r:id="rId31" location="" tooltip="" display="LCSC"/>
    <hyperlink ref="A34" r:id="rId32" location="" tooltip="" display="LCSC"/>
    <hyperlink ref="A35" r:id="rId33" location="" tooltip="" display="LCSC"/>
    <hyperlink ref="A36" r:id="rId34" location="" tooltip="" display="LCSC"/>
    <hyperlink ref="A37" r:id="rId35" location="" tooltip="" display="LCSC"/>
    <hyperlink ref="A38" r:id="rId36" location="" tooltip="" display="LCSC"/>
    <hyperlink ref="A39" r:id="rId37" location="" tooltip="" display="LCSC"/>
    <hyperlink ref="A40" r:id="rId38" location="" tooltip="" display="LCSC"/>
    <hyperlink ref="A41" r:id="rId39" location="" tooltip="" display="LCSC"/>
    <hyperlink ref="A42" r:id="rId40" location="" tooltip="" display="LCSC"/>
    <hyperlink ref="A43" r:id="rId41" location="" tooltip="" display="Mouser"/>
    <hyperlink ref="A44" r:id="rId42" location="" tooltip="" display="DigiKey"/>
    <hyperlink ref="A45" r:id="rId43" location="" tooltip="" display="DigiKey"/>
    <hyperlink ref="A46" r:id="rId44" location="" tooltip="" display="DigiKey"/>
    <hyperlink ref="A47" r:id="rId45" location="" tooltip="" display="DigiKey"/>
    <hyperlink ref="A48" r:id="rId46" location="" tooltip="" display="LCSC"/>
    <hyperlink ref="A49" r:id="rId47" location="" tooltip="" display="LCSC"/>
    <hyperlink ref="A50" r:id="rId48" location="" tooltip="" display="LCSC"/>
    <hyperlink ref="A51" r:id="rId49" location="" tooltip="" display="LCSC"/>
    <hyperlink ref="A52" r:id="rId50" location="" tooltip="" display="LCSC"/>
    <hyperlink ref="A53" r:id="rId51" location="" tooltip="" display="LCSC"/>
    <hyperlink ref="A54" r:id="rId52" location="" tooltip="" display="LCSC"/>
    <hyperlink ref="A55" r:id="rId53" location="" tooltip="" display="LCSC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